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bgc\Desktop\会社\project\"/>
    </mc:Choice>
  </mc:AlternateContent>
  <xr:revisionPtr revIDLastSave="0" documentId="13_ncr:1_{095DEA18-9E66-40D1-9FD4-417D87C7A441}" xr6:coauthVersionLast="47" xr6:coauthVersionMax="47" xr10:uidLastSave="{00000000-0000-0000-0000-000000000000}"/>
  <bookViews>
    <workbookView xWindow="105" yWindow="585" windowWidth="19755" windowHeight="14430" activeTab="2" xr2:uid="{00000000-000D-0000-FFFF-FFFF00000000}"/>
  </bookViews>
  <sheets>
    <sheet name="メイン" sheetId="2" r:id="rId1"/>
    <sheet name="図形_テンプレート" sheetId="3" r:id="rId2"/>
    <sheet name="長方形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" l="1" a="1"/>
  <c r="E2" i="2" a="1"/>
  <c r="C2" i="2"/>
  <c r="F2" i="2" l="1"/>
  <c r="E2" i="2"/>
  <c r="M1" i="2" s="1"/>
  <c r="F3" i="2" a="1"/>
  <c r="E3" i="2" a="1"/>
  <c r="G2" i="2" a="1"/>
  <c r="L3" i="2" l="1" a="1"/>
  <c r="L3" i="2" s="1"/>
  <c r="F3" i="2"/>
  <c r="E3" i="2"/>
  <c r="M5" i="2" s="1"/>
  <c r="G2" i="2"/>
  <c r="L2" i="2" s="1" a="1"/>
  <c r="L2" i="2" s="1"/>
  <c r="E4" i="2" a="1"/>
  <c r="F4" i="2" a="1"/>
  <c r="G3" i="2" a="1"/>
  <c r="L7" i="2" l="1" a="1"/>
  <c r="L7" i="2" s="1"/>
  <c r="F4" i="2"/>
  <c r="E4" i="2"/>
  <c r="M9" i="2" s="1"/>
  <c r="G3" i="2"/>
  <c r="L6" i="2" s="1" a="1"/>
  <c r="L6" i="2" s="1"/>
  <c r="G4" i="2" a="1"/>
  <c r="F5" i="2" a="1"/>
  <c r="E5" i="2" a="1"/>
  <c r="L11" i="2" l="1" a="1"/>
  <c r="L11" i="2" s="1"/>
  <c r="E5" i="2"/>
  <c r="M13" i="2" s="1"/>
  <c r="F5" i="2"/>
  <c r="G4" i="2"/>
  <c r="L10" i="2" s="1" a="1"/>
  <c r="L10" i="2" s="1"/>
  <c r="G5" i="2" a="1"/>
  <c r="L15" i="2" l="1" a="1"/>
  <c r="L15" i="2" s="1"/>
  <c r="G5" i="2"/>
  <c r="L14" i="2" s="1" a="1"/>
  <c r="L14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<sst xmlns="http://schemas.openxmlformats.org/spreadsheetml/2006/main" count="48" uniqueCount="25">
  <si>
    <t>ID</t>
  </si>
  <si>
    <t>Type</t>
  </si>
  <si>
    <t>X1</t>
  </si>
  <si>
    <t>Y1</t>
  </si>
  <si>
    <t>X2</t>
  </si>
  <si>
    <t>Y2</t>
  </si>
  <si>
    <t>CenterX</t>
  </si>
  <si>
    <t>CenterY</t>
  </si>
  <si>
    <t>Radius</t>
  </si>
  <si>
    <t>StartAngle</t>
  </si>
  <si>
    <t>EndAngle</t>
  </si>
  <si>
    <t>Direction</t>
  </si>
  <si>
    <t>L01</t>
  </si>
  <si>
    <t>line</t>
  </si>
  <si>
    <t>A01</t>
  </si>
  <si>
    <t>arc</t>
  </si>
  <si>
    <t>ccw</t>
  </si>
  <si>
    <t>L02</t>
  </si>
  <si>
    <t>Line</t>
    <phoneticPr fontId="1"/>
  </si>
  <si>
    <t>L03</t>
    <phoneticPr fontId="1"/>
  </si>
  <si>
    <t>L04</t>
    <phoneticPr fontId="1"/>
  </si>
  <si>
    <t>対象シート</t>
    <rPh sb="0" eb="2">
      <t>タイショウ</t>
    </rPh>
    <phoneticPr fontId="1"/>
  </si>
  <si>
    <t>要素数</t>
    <rPh sb="0" eb="3">
      <t>ヨウソスウ</t>
    </rPh>
    <phoneticPr fontId="1"/>
  </si>
  <si>
    <t>長方形</t>
    <rPh sb="0" eb="3">
      <t>チョウホウケイ</t>
    </rPh>
    <phoneticPr fontId="1"/>
  </si>
  <si>
    <t>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</si>
</sst>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メイン!$M$1</c:f>
              <c:strCache>
                <c:ptCount val="1"/>
                <c:pt idx="0">
                  <c:v>L01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メイン!$L$2:$L$3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xVal>
          <c:yVal>
            <c:numRef>
              <c:f>メイン!$M$2:$M$3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82-4E21-99C5-C07AC013F8D4}"/>
            </c:ext>
          </c:extLst>
        </c:ser>
        <c:ser>
          <c:idx val="1"/>
          <c:order val="1"/>
          <c:tx>
            <c:strRef>
              <c:f>メイン!$M$5</c:f>
              <c:strCache>
                <c:ptCount val="1"/>
                <c:pt idx="0">
                  <c:v>L02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メイン!$L$6:$L$7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メイン!$M$6:$M$7</c:f>
              <c:numCache>
                <c:formatCode>General</c:formatCode>
                <c:ptCount val="2"/>
                <c:pt idx="0">
                  <c:v>0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582-4E21-99C5-C07AC013F8D4}"/>
            </c:ext>
          </c:extLst>
        </c:ser>
        <c:ser>
          <c:idx val="2"/>
          <c:order val="2"/>
          <c:tx>
            <c:strRef>
              <c:f>メイン!$M$9</c:f>
              <c:strCache>
                <c:ptCount val="1"/>
                <c:pt idx="0">
                  <c:v>L03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メイン!$L$10:$L$11</c:f>
              <c:numCache>
                <c:formatCode>General</c:formatCode>
                <c:ptCount val="2"/>
                <c:pt idx="0">
                  <c:v>10</c:v>
                </c:pt>
                <c:pt idx="1">
                  <c:v>0</c:v>
                </c:pt>
              </c:numCache>
            </c:numRef>
          </c:xVal>
          <c:yVal>
            <c:numRef>
              <c:f>メイン!$M$10:$M$11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582-4E21-99C5-C07AC013F8D4}"/>
            </c:ext>
          </c:extLst>
        </c:ser>
        <c:ser>
          <c:idx val="3"/>
          <c:order val="3"/>
          <c:tx>
            <c:strRef>
              <c:f>メイン!$M$13</c:f>
              <c:strCache>
                <c:ptCount val="1"/>
                <c:pt idx="0">
                  <c:v>L04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メイン!$L$14:$L$15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メイン!$M$14:$M$15</c:f>
              <c:numCache>
                <c:formatCode>General</c:formatCode>
                <c:ptCount val="2"/>
                <c:pt idx="0">
                  <c:v>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582-4E21-99C5-C07AC013F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844639"/>
        <c:axId val="607843679"/>
      </c:scatterChart>
      <c:valAx>
        <c:axId val="607844639"/>
        <c:scaling>
          <c:orientation val="minMax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43679"/>
        <c:crosses val="autoZero"/>
        <c:crossBetween val="midCat"/>
      </c:valAx>
      <c:valAx>
        <c:axId val="607843679"/>
        <c:scaling>
          <c:orientation val="minMax"/>
          <c:min val="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078446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676275</xdr:colOff>
      <xdr:row>8</xdr:row>
      <xdr:rowOff>214312</xdr:rowOff>
    </xdr:from>
    <xdr:to>
      <xdr:col>7</xdr:col>
      <xdr:colOff>381000</xdr:colOff>
      <xdr:row>20</xdr:row>
      <xdr:rowOff>100012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BA02F14A-6F2C-A2EE-8FB0-A196D8D8B9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8EF56-56FE-4CAD-A70D-CC3B6B69D4EB}">
  <sheetPr codeName="Sheet1"/>
  <dimension ref="B1:M15"/>
  <sheetViews>
    <sheetView workbookViewId="0">
      <selection activeCell="J9" sqref="J9"/>
    </sheetView>
  </sheetViews>
  <sheetFormatPr defaultRowHeight="18.75"/>
  <cols>
    <col min="2" max="2" width="9.875" customWidth="1"/>
  </cols>
  <sheetData>
    <row r="1" spans="2:13">
      <c r="B1" s="3" t="s">
        <v>21</v>
      </c>
      <c r="C1" s="3" t="s">
        <v>23</v>
      </c>
      <c r="L1" t="s">
        <v>24</v>
      </c>
      <c r="M1" t="str">
        <f ca="1">E2</f>
        <v>L01</v>
      </c>
    </row>
    <row r="2" spans="2:13">
      <c r="B2" s="3" t="s">
        <v>22</v>
      </c>
      <c r="C2" s="3">
        <f ca="1">COUNTA(INDIRECT(C1&amp;"!A:A"))-1</f>
        <v>4</v>
      </c>
      <c r="E2" t="str" cm="1">
        <f t="array" aca="1" ref="E2" ca="1">OFFSET(INDIRECT($C$1&amp;"!A1"),1,0)</f>
        <v>L01</v>
      </c>
      <c r="F2" t="str" cm="1">
        <f t="array" aca="1" ref="F2" ca="1">OFFSET(INDIRECT($C$1&amp;"!A1"),1,1)</f>
        <v>line</v>
      </c>
      <c r="G2" cm="1">
        <f t="array" aca="1" ref="G2:J2" ca="1">OFFSET(INDIRECT($C$1&amp;"!A1"),1,IF(F2="line",2,5),1,4)</f>
        <v>0</v>
      </c>
      <c r="H2">
        <f ca="1"/>
        <v>0</v>
      </c>
      <c r="I2">
        <f ca="1"/>
        <v>10</v>
      </c>
      <c r="J2">
        <f ca="1"/>
        <v>0</v>
      </c>
      <c r="L2" cm="1">
        <f t="array" aca="1" ref="L2:M2" ca="1">G2:H2</f>
        <v>0</v>
      </c>
      <c r="M2">
        <f ca="1"/>
        <v>0</v>
      </c>
    </row>
    <row r="3" spans="2:13">
      <c r="E3" t="str" cm="1">
        <f t="array" aca="1" ref="E3" ca="1">OFFSET(INDIRECT($C$1&amp;"!A1"),1+COUNTA($E$1:$E2),0)</f>
        <v>L02</v>
      </c>
      <c r="F3" t="str" cm="1">
        <f t="array" aca="1" ref="F3" ca="1">OFFSET(INDIRECT($C$1&amp;"!A1"),1+COUNTA($E$1:$E2),1)</f>
        <v>line</v>
      </c>
      <c r="G3" cm="1">
        <f t="array" aca="1" ref="G3:J3" ca="1">OFFSET(INDIRECT($C$1&amp;"!A1"),1+COUNTA($E$1:$E2),IF(F3="line",2,5),1,4)</f>
        <v>10</v>
      </c>
      <c r="H3">
        <f ca="1"/>
        <v>0</v>
      </c>
      <c r="I3">
        <f ca="1"/>
        <v>10</v>
      </c>
      <c r="J3">
        <f ca="1"/>
        <v>5</v>
      </c>
      <c r="L3" cm="1">
        <f t="array" aca="1" ref="L3:M3" ca="1">I2:J2</f>
        <v>10</v>
      </c>
      <c r="M3">
        <f ca="1"/>
        <v>0</v>
      </c>
    </row>
    <row r="4" spans="2:13">
      <c r="E4" t="str" cm="1">
        <f t="array" aca="1" ref="E4" ca="1">OFFSET(INDIRECT($C$1&amp;"!A1"),1+COUNTA($E$1:$E3),0)</f>
        <v>L03</v>
      </c>
      <c r="F4" t="str" cm="1">
        <f t="array" aca="1" ref="F4" ca="1">OFFSET(INDIRECT($C$1&amp;"!A1"),1+COUNTA($E$1:$E3),1)</f>
        <v>line</v>
      </c>
      <c r="G4" cm="1">
        <f t="array" aca="1" ref="G4:J4" ca="1">OFFSET(INDIRECT($C$1&amp;"!A1"),1+COUNTA($E$1:$E3),IF(F4="line",2,5),1,4)</f>
        <v>10</v>
      </c>
      <c r="H4">
        <f ca="1"/>
        <v>5</v>
      </c>
      <c r="I4">
        <f ca="1"/>
        <v>0</v>
      </c>
      <c r="J4">
        <f ca="1"/>
        <v>5</v>
      </c>
    </row>
    <row r="5" spans="2:13">
      <c r="E5" t="str" cm="1">
        <f t="array" aca="1" ref="E5" ca="1">OFFSET(INDIRECT($C$1&amp;"!A1"),1+COUNTA($E$1:$E4),0)</f>
        <v>L04</v>
      </c>
      <c r="F5" t="str" cm="1">
        <f t="array" aca="1" ref="F5" ca="1">OFFSET(INDIRECT($C$1&amp;"!A1"),1+COUNTA($E$1:$E4),1)</f>
        <v>line</v>
      </c>
      <c r="G5" cm="1">
        <f t="array" aca="1" ref="G5:J5" ca="1">OFFSET(INDIRECT($C$1&amp;"!A1"),1+COUNTA($E$1:$E4),IF(F5="line",2,5),1,4)</f>
        <v>0</v>
      </c>
      <c r="H5">
        <f ca="1"/>
        <v>5</v>
      </c>
      <c r="I5">
        <f ca="1"/>
        <v>0</v>
      </c>
      <c r="J5">
        <f ca="1"/>
        <v>0</v>
      </c>
      <c r="L5" t="s">
        <v>24</v>
      </c>
      <c r="M5" t="str">
        <f ca="1">E3</f>
        <v>L02</v>
      </c>
    </row>
    <row r="6" spans="2:13">
      <c r="L6" cm="1">
        <f t="array" aca="1" ref="L6:M6" ca="1">G3:H3</f>
        <v>10</v>
      </c>
      <c r="M6">
        <f ca="1"/>
        <v>0</v>
      </c>
    </row>
    <row r="7" spans="2:13">
      <c r="L7" cm="1">
        <f t="array" aca="1" ref="L7:M7" ca="1">I3:J3</f>
        <v>10</v>
      </c>
      <c r="M7">
        <f ca="1"/>
        <v>5</v>
      </c>
    </row>
    <row r="9" spans="2:13">
      <c r="L9" t="s">
        <v>24</v>
      </c>
      <c r="M9" t="str">
        <f ca="1">E4</f>
        <v>L03</v>
      </c>
    </row>
    <row r="10" spans="2:13">
      <c r="L10" cm="1">
        <f t="array" aca="1" ref="L10:M10" ca="1">G4:H4</f>
        <v>10</v>
      </c>
      <c r="M10">
        <f ca="1"/>
        <v>5</v>
      </c>
    </row>
    <row r="11" spans="2:13">
      <c r="L11" cm="1">
        <f t="array" aca="1" ref="L11:M11" ca="1">I4:J4</f>
        <v>0</v>
      </c>
      <c r="M11">
        <f ca="1"/>
        <v>5</v>
      </c>
    </row>
    <row r="13" spans="2:13">
      <c r="L13" t="s">
        <v>24</v>
      </c>
      <c r="M13" t="str">
        <f ca="1">E5</f>
        <v>L04</v>
      </c>
    </row>
    <row r="14" spans="2:13">
      <c r="L14" cm="1">
        <f t="array" aca="1" ref="L14:M14" ca="1">G5:H5</f>
        <v>0</v>
      </c>
      <c r="M14">
        <f ca="1"/>
        <v>5</v>
      </c>
    </row>
    <row r="15" spans="2:13">
      <c r="L15" cm="1">
        <f t="array" aca="1" ref="L15:M15" ca="1">I5:J5</f>
        <v>0</v>
      </c>
      <c r="M15">
        <f ca="1"/>
        <v>0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E9F7D-4A69-49DB-B5C2-795406532454}">
  <sheetPr codeName="Sheet2"/>
  <dimension ref="A1:M4"/>
  <sheetViews>
    <sheetView workbookViewId="0">
      <selection activeCell="M1" sqref="M1"/>
    </sheetView>
  </sheetViews>
  <sheetFormatPr defaultRowHeight="18.75"/>
  <cols>
    <col min="2" max="12" width="11.25" customWidth="1"/>
  </cols>
  <sheetData>
    <row r="1" spans="1:13" ht="24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18</v>
      </c>
    </row>
    <row r="2" spans="1:13">
      <c r="A2" s="2" t="s">
        <v>12</v>
      </c>
      <c r="B2" s="2" t="s">
        <v>13</v>
      </c>
      <c r="C2" s="2">
        <v>0</v>
      </c>
      <c r="D2" s="2">
        <v>0</v>
      </c>
      <c r="E2" s="2">
        <v>10</v>
      </c>
      <c r="F2" s="2">
        <v>0</v>
      </c>
      <c r="G2" s="2"/>
      <c r="H2" s="2"/>
      <c r="I2" s="2"/>
      <c r="J2" s="2"/>
      <c r="K2" s="2"/>
      <c r="L2" s="2"/>
    </row>
    <row r="3" spans="1:13">
      <c r="A3" s="2" t="s">
        <v>14</v>
      </c>
      <c r="B3" s="2" t="s">
        <v>15</v>
      </c>
      <c r="C3" s="2"/>
      <c r="D3" s="2"/>
      <c r="E3" s="2"/>
      <c r="F3" s="2"/>
      <c r="G3" s="2">
        <v>5</v>
      </c>
      <c r="H3" s="2">
        <v>5</v>
      </c>
      <c r="I3" s="2">
        <v>2</v>
      </c>
      <c r="J3" s="2">
        <v>0</v>
      </c>
      <c r="K3" s="2">
        <v>180</v>
      </c>
      <c r="L3" s="2" t="s">
        <v>16</v>
      </c>
    </row>
    <row r="4" spans="1:13">
      <c r="A4" s="2" t="s">
        <v>17</v>
      </c>
      <c r="B4" s="2" t="s">
        <v>13</v>
      </c>
      <c r="C4" s="2">
        <v>10</v>
      </c>
      <c r="D4" s="2">
        <v>0</v>
      </c>
      <c r="E4" s="2">
        <v>10</v>
      </c>
      <c r="F4" s="2">
        <v>5</v>
      </c>
      <c r="G4" s="2"/>
      <c r="H4" s="2"/>
      <c r="I4" s="2"/>
      <c r="J4" s="2"/>
      <c r="K4" s="2"/>
      <c r="L4" s="2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7BB27-90E2-4D50-B21E-497F16E8574F}">
  <sheetPr codeName="Sheet3"/>
  <dimension ref="A1:M5"/>
  <sheetViews>
    <sheetView tabSelected="1" workbookViewId="0">
      <selection activeCell="C2" sqref="C2:F2"/>
    </sheetView>
  </sheetViews>
  <sheetFormatPr defaultRowHeight="18.75"/>
  <cols>
    <col min="2" max="12" width="11.25" customWidth="1"/>
  </cols>
  <sheetData>
    <row r="1" spans="1:13" ht="24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18</v>
      </c>
    </row>
    <row r="2" spans="1:13">
      <c r="A2" s="2" t="s">
        <v>12</v>
      </c>
      <c r="B2" s="2" t="s">
        <v>13</v>
      </c>
      <c r="C2" s="2">
        <v>0</v>
      </c>
      <c r="D2" s="2">
        <v>0</v>
      </c>
      <c r="E2" s="2">
        <v>10</v>
      </c>
      <c r="F2" s="2">
        <v>0</v>
      </c>
      <c r="G2" s="2"/>
      <c r="H2" s="2"/>
      <c r="I2" s="2"/>
      <c r="J2" s="2"/>
      <c r="K2" s="2"/>
      <c r="L2" s="2"/>
      <c r="M2">
        <v>1</v>
      </c>
    </row>
    <row r="3" spans="1:13">
      <c r="A3" s="2" t="s">
        <v>17</v>
      </c>
      <c r="B3" s="2" t="s">
        <v>13</v>
      </c>
      <c r="C3" s="2">
        <v>10</v>
      </c>
      <c r="D3" s="2">
        <v>0</v>
      </c>
      <c r="E3" s="2">
        <v>10</v>
      </c>
      <c r="F3" s="2">
        <v>5</v>
      </c>
      <c r="G3" s="2"/>
      <c r="H3" s="2"/>
      <c r="I3" s="2"/>
      <c r="J3" s="2"/>
      <c r="K3" s="2"/>
      <c r="L3" s="2"/>
      <c r="M3">
        <v>1</v>
      </c>
    </row>
    <row r="4" spans="1:13">
      <c r="A4" s="2" t="s">
        <v>19</v>
      </c>
      <c r="B4" s="2" t="s">
        <v>13</v>
      </c>
      <c r="C4" s="2">
        <v>10</v>
      </c>
      <c r="D4" s="2">
        <v>5</v>
      </c>
      <c r="E4" s="2">
        <v>0</v>
      </c>
      <c r="F4" s="2">
        <v>5</v>
      </c>
      <c r="G4" s="2"/>
      <c r="H4" s="2"/>
      <c r="I4" s="2"/>
      <c r="J4" s="2"/>
      <c r="K4" s="2"/>
      <c r="L4" s="2"/>
      <c r="M4">
        <v>1</v>
      </c>
    </row>
    <row r="5" spans="1:13">
      <c r="A5" s="2" t="s">
        <v>20</v>
      </c>
      <c r="B5" s="2" t="s">
        <v>13</v>
      </c>
      <c r="C5" s="2">
        <v>0</v>
      </c>
      <c r="D5" s="2">
        <v>5</v>
      </c>
      <c r="E5" s="2">
        <v>0</v>
      </c>
      <c r="F5" s="2">
        <v>0</v>
      </c>
      <c r="M5">
        <v>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メイン</vt:lpstr>
      <vt:lpstr>図形_テンプレート</vt:lpstr>
      <vt:lpstr>長方形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浜崎謙介</dc:creator>
  <cp:lastModifiedBy>謙介 浜﨑</cp:lastModifiedBy>
  <dcterms:created xsi:type="dcterms:W3CDTF">2015-06-05T18:19:34Z</dcterms:created>
  <dcterms:modified xsi:type="dcterms:W3CDTF">2025-07-04T13:08:14Z</dcterms:modified>
</cp:coreProperties>
</file>